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\Users\Curt\Documents\ContinuingEducation\UIUC iMBA\Marketing Management\"/>
    </mc:Choice>
  </mc:AlternateContent>
  <bookViews>
    <workbookView xWindow="0" yWindow="0" windowWidth="28800" windowHeight="14595" xr2:uid="{84E6FCFF-5040-445B-8198-42113E273CB4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F10" i="1"/>
  <c r="E11" i="1" s="1"/>
  <c r="D10" i="1"/>
  <c r="D11" i="1" s="1"/>
</calcChain>
</file>

<file path=xl/sharedStrings.xml><?xml version="1.0" encoding="utf-8"?>
<sst xmlns="http://schemas.openxmlformats.org/spreadsheetml/2006/main" count="19" uniqueCount="17">
  <si>
    <t>Cartier</t>
  </si>
  <si>
    <t>Casio</t>
  </si>
  <si>
    <t>Citizen</t>
  </si>
  <si>
    <t>Fossil</t>
  </si>
  <si>
    <t>Movado</t>
  </si>
  <si>
    <t>Omega</t>
  </si>
  <si>
    <t>Rolex</t>
  </si>
  <si>
    <t>Seiko</t>
  </si>
  <si>
    <t>Swatch</t>
  </si>
  <si>
    <t>TAGHeuer</t>
  </si>
  <si>
    <t>Fashion</t>
  </si>
  <si>
    <t>Luxury</t>
  </si>
  <si>
    <t>Brand</t>
  </si>
  <si>
    <t>FA</t>
  </si>
  <si>
    <t>FN</t>
  </si>
  <si>
    <t>AA</t>
  </si>
  <si>
    <t>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</si>
</sst>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</cellXfs>
  <cellStyles count="1">
    <cellStyle name="Normal" xfId="0" builtinId="0"/>
  </cellStyles>
  <dxfs count="5"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Sheet1!$H$21</c:f>
              <c:strCache>
                <c:ptCount val="1"/>
                <c:pt idx="0">
                  <c:v>Fashion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0-1E3D-433F-A74B-C7943635DC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1-1E3D-433F-A74B-C7943635DC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2-1E3D-433F-A74B-C7943635DC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3-1E3D-433F-A74B-C7943635DC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4-1E3D-433F-A74B-C7943635DC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5-1E3D-433F-A74B-C7943635DC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1E3D-433F-A74B-C7943635DC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1E3D-433F-A74B-C7943635DC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8-1E3D-433F-A74B-C7943635DC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9-1E3D-433F-A74B-C7943635DC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Sheet1!$G$22:$G$31</c:f>
              <c:numCache>
                <c:formatCode>General</c:formatCode>
                <c:ptCount val="10"/>
              </c:numCache>
            </c:numRef>
          </c:xVal>
          <c:yVal>
            <c:numRef>
              <c:f>Sheet1!$H$22:$H$31</c:f>
              <c:numCache>
                <c:formatCode>General</c:formatCode>
                <c:ptCount val="10"/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Sheet1!$F$22:$F$31</c15:f>
                <c15:dlblRangeCache>
                  <c:ptCount val="10"/>
                  <c:pt idx="0">
                    <c:v>Cartier</c:v>
                  </c:pt>
                  <c:pt idx="1">
                    <c:v>Casio</c:v>
                  </c:pt>
                  <c:pt idx="2">
                    <c:v>Citizen</c:v>
                  </c:pt>
                  <c:pt idx="3">
                    <c:v>Fossil</c:v>
                  </c:pt>
                  <c:pt idx="4">
                    <c:v>Movado</c:v>
                  </c:pt>
                  <c:pt idx="5">
                    <c:v>Omega</c:v>
                  </c:pt>
                  <c:pt idx="6">
                    <c:v>Rolex</c:v>
                  </c:pt>
                  <c:pt idx="7">
                    <c:v>Seiko</c:v>
                  </c:pt>
                  <c:pt idx="8">
                    <c:v>Swatch</c:v>
                  </c:pt>
                  <c:pt idx="9">
                    <c:v>TAGHeuer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BC-4F08-B2DD-469031E2352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1842520"/>
        <c:axId val="601841208"/>
      </c:scatterChart>
      <c:valAx>
        <c:axId val="60184252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841208"/>
        <c:crosses val="autoZero"/>
        <c:crossBetween val="midCat"/>
      </c:valAx>
      <c:valAx>
        <c:axId val="60184120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84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C$10" horiz="1" max="100" page="10" val="76"/>
</file>

<file path=xl/ctrlProps/ctrlProp2.xml><?xml version="1.0" encoding="utf-8"?>
<formControlPr xmlns="http://schemas.microsoft.com/office/spreadsheetml/2009/9/main" objectType="Scroll" dx="22" fmlaLink="$E$10" horiz="1" max="100" page="10" val="6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420688</xdr:colOff>
      <xdr:row>1</xdr:row>
      <xdr:rowOff>13484</xdr:rowOff>
    </xdr:from>
    <xdr:to>
      <xdr:col>12</xdr:col>
      <xdr:colOff>350838</xdr:colOff>
      <xdr:row>17</xdr:row>
      <xdr:rowOff>38884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39680</xdr:colOff>
      <xdr:row>8</xdr:row>
      <xdr:rowOff>15874</xdr:rowOff>
    </xdr:from>
    <xdr:to>
      <xdr:col>6</xdr:col>
      <xdr:colOff>31742</xdr:colOff>
      <xdr:row>12</xdr:row>
      <xdr:rowOff>166686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246180" y="1539874"/>
          <a:ext cx="2801937" cy="1039812"/>
          <a:chOff x="8945555" y="1341437"/>
          <a:chExt cx="2801937" cy="1039812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945555" y="1341437"/>
            <a:ext cx="2801937" cy="1039812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Scroll Bar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001117" y="1801811"/>
                <a:ext cx="2651125" cy="19843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945556" y="1428756"/>
            <a:ext cx="1890582" cy="2249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900" b="1">
                <a:latin typeface="Arial" panose="020B0604020202020204" pitchFamily="34" charset="0"/>
                <a:cs typeface="Arial" panose="020B0604020202020204" pitchFamily="34" charset="0"/>
              </a:rPr>
              <a:t>FUNCTIONAL</a:t>
            </a:r>
            <a:r>
              <a:rPr lang="en-US" sz="900" b="1" baseline="0">
                <a:latin typeface="Arial" panose="020B0604020202020204" pitchFamily="34" charset="0"/>
                <a:cs typeface="Arial" panose="020B0604020202020204" pitchFamily="34" charset="0"/>
              </a:rPr>
              <a:t> versus FASHION</a:t>
            </a:r>
            <a:endParaRPr lang="en-US" sz="9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8969369" y="2103437"/>
            <a:ext cx="521040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min: -5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1137901" y="2105025"/>
            <a:ext cx="509820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max: 5</a:t>
            </a:r>
          </a:p>
        </xdr:txBody>
      </xdr:sp>
      <xdr:sp macro="" textlink="$D$10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0167934" y="2095501"/>
            <a:ext cx="460376" cy="23812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B9B6B040-9A8F-4F3B-BD40-5188515D339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2.6</a:t>
            </a:fld>
            <a:endParaRPr lang="en-US" sz="1100"/>
          </a:p>
        </xdr:txBody>
      </xdr:sp>
    </xdr:grpSp>
    <xdr:clientData/>
  </xdr:twoCellAnchor>
  <xdr:twoCellAnchor>
    <xdr:from>
      <xdr:col>2</xdr:col>
      <xdr:colOff>41277</xdr:colOff>
      <xdr:row>13</xdr:row>
      <xdr:rowOff>80963</xdr:rowOff>
    </xdr:from>
    <xdr:to>
      <xdr:col>6</xdr:col>
      <xdr:colOff>29466</xdr:colOff>
      <xdr:row>18</xdr:row>
      <xdr:rowOff>41275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247777" y="2684463"/>
          <a:ext cx="2798064" cy="912812"/>
          <a:chOff x="1223963" y="2684463"/>
          <a:chExt cx="2798064" cy="912812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223963" y="2684463"/>
            <a:ext cx="2798064" cy="912812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Scroll Bar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95399" y="3113088"/>
                <a:ext cx="2665413" cy="1730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223963" y="2771782"/>
            <a:ext cx="1890710" cy="2249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900" b="1">
                <a:latin typeface="Arial" panose="020B0604020202020204" pitchFamily="34" charset="0"/>
                <a:cs typeface="Arial" panose="020B0604020202020204" pitchFamily="34" charset="0"/>
              </a:rPr>
              <a:t>AFFORDABLE versus LUXURY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247776" y="3319463"/>
            <a:ext cx="521040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min: -5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3471871" y="3321051"/>
            <a:ext cx="509820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max: 5</a:t>
            </a:r>
          </a:p>
        </xdr:txBody>
      </xdr:sp>
      <xdr:sp macro="" textlink="$F$10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446346" y="3311527"/>
            <a:ext cx="460376" cy="23812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4696A73A-BA45-447A-A07D-0409F854BD6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1.7</a:t>
            </a:fld>
            <a:endParaRPr lang="en-US" sz="1100"/>
          </a:p>
        </xdr:txBody>
      </xdr:sp>
    </xdr:grpSp>
    <xdr:clientData/>
  </xdr:twoCellAnchor>
  <xdr:twoCellAnchor>
    <xdr:from>
      <xdr:col>6</xdr:col>
      <xdr:colOff>182563</xdr:colOff>
      <xdr:row>12</xdr:row>
      <xdr:rowOff>87312</xdr:rowOff>
    </xdr:from>
    <xdr:to>
      <xdr:col>7</xdr:col>
      <xdr:colOff>230188</xdr:colOff>
      <xdr:row>14</xdr:row>
      <xdr:rowOff>0</xdr:rowOff>
    </xdr:to>
    <xdr:sp macro="[0]!AddPosition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198938" y="2500312"/>
          <a:ext cx="809625" cy="29368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Apply</a:t>
          </a:r>
        </a:p>
      </xdr:txBody>
    </xdr:sp>
    <xdr:clientData/>
  </xdr:twoCellAnchor>
  <xdr:twoCellAnchor>
    <xdr:from>
      <xdr:col>10</xdr:col>
      <xdr:colOff>285751</xdr:colOff>
      <xdr:row>17</xdr:row>
      <xdr:rowOff>174622</xdr:rowOff>
    </xdr:from>
    <xdr:to>
      <xdr:col>11</xdr:col>
      <xdr:colOff>484188</xdr:colOff>
      <xdr:row>19</xdr:row>
      <xdr:rowOff>87310</xdr:rowOff>
    </xdr:to>
    <xdr:sp macro="[0]!ResetPositions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112001" y="3540122"/>
          <a:ext cx="809625" cy="29368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Reset</a:t>
          </a:r>
        </a:p>
      </xdr:txBody>
    </xdr:sp>
    <xdr:clientData/>
  </xdr:twoCellAnchor>
  <xdr:twoCellAnchor>
    <xdr:from>
      <xdr:col>1</xdr:col>
      <xdr:colOff>47625</xdr:colOff>
      <xdr:row>0</xdr:row>
      <xdr:rowOff>103188</xdr:rowOff>
    </xdr:from>
    <xdr:to>
      <xdr:col>3</xdr:col>
      <xdr:colOff>468313</xdr:colOff>
      <xdr:row>1</xdr:row>
      <xdr:rowOff>166688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41313" y="103188"/>
          <a:ext cx="1944688" cy="254000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Perceptual Map of Watch Brands</a:t>
          </a:r>
        </a:p>
      </xdr:txBody>
    </xdr:sp>
    <xdr:clientData/>
  </xdr:twoCellAnchor>
  <xdr:oneCellAnchor>
    <xdr:from>
      <xdr:col>0</xdr:col>
      <xdr:colOff>246063</xdr:colOff>
      <xdr:row>2</xdr:row>
      <xdr:rowOff>7938</xdr:rowOff>
    </xdr:from>
    <xdr:ext cx="2556149" cy="100822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46063" y="388938"/>
          <a:ext cx="2556149" cy="10082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50" b="1"/>
            <a:t>Please rate the following brands of wrist</a:t>
          </a:r>
        </a:p>
        <a:p>
          <a:r>
            <a:rPr lang="en-US" sz="1050" b="1"/>
            <a:t>watches</a:t>
          </a:r>
          <a:r>
            <a:rPr lang="en-US" sz="1050" b="1" baseline="0"/>
            <a:t> on the following criteria:</a:t>
          </a:r>
        </a:p>
        <a:p>
          <a:r>
            <a:rPr lang="en-US" sz="1050" b="1" baseline="0"/>
            <a:t>FUNCTIONALITY and PRICE.</a:t>
          </a:r>
        </a:p>
        <a:p>
          <a:endParaRPr lang="en-US" sz="1100" baseline="0"/>
        </a:p>
        <a:p>
          <a:r>
            <a:rPr lang="en-US" sz="800" baseline="0">
              <a:solidFill>
                <a:schemeClr val="bg1">
                  <a:lumMod val="50000"/>
                </a:schemeClr>
              </a:solidFill>
            </a:rPr>
            <a:t>If you're unfamiliar with the brand, please give your best</a:t>
          </a:r>
        </a:p>
        <a:p>
          <a:r>
            <a:rPr lang="en-US" sz="800" baseline="0">
              <a:solidFill>
                <a:schemeClr val="bg1">
                  <a:lumMod val="50000"/>
                </a:schemeClr>
              </a:solidFill>
            </a:rPr>
            <a:t>guess based on first impressions upon reading the name.</a:t>
          </a:r>
          <a:endParaRPr lang="en-US" sz="800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twoCellAnchor>
    <xdr:from>
      <xdr:col>4</xdr:col>
      <xdr:colOff>587374</xdr:colOff>
      <xdr:row>19</xdr:row>
      <xdr:rowOff>182563</xdr:rowOff>
    </xdr:from>
    <xdr:to>
      <xdr:col>8</xdr:col>
      <xdr:colOff>87312</xdr:colOff>
      <xdr:row>31</xdr:row>
      <xdr:rowOff>71438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103562" y="3929063"/>
          <a:ext cx="2587625" cy="2174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23813</xdr:colOff>
      <xdr:row>2</xdr:row>
      <xdr:rowOff>47625</xdr:rowOff>
    </xdr:from>
    <xdr:ext cx="1809750" cy="796693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3151188" y="428625"/>
          <a:ext cx="1809750" cy="796693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900"/>
            <a:t>To evaluate</a:t>
          </a:r>
          <a:r>
            <a:rPr lang="en-US" sz="900" baseline="0"/>
            <a:t> a brand, click cell B10, </a:t>
          </a:r>
        </a:p>
        <a:p>
          <a:r>
            <a:rPr lang="en-US" sz="900" baseline="0"/>
            <a:t>click the down arrow, and select </a:t>
          </a:r>
        </a:p>
        <a:p>
          <a:r>
            <a:rPr lang="en-US" sz="900" baseline="0"/>
            <a:t>a brand. Then use the sliders to </a:t>
          </a:r>
        </a:p>
        <a:p>
          <a:r>
            <a:rPr lang="en-US" sz="900" baseline="0"/>
            <a:t>set values for FUNCTIONALITY </a:t>
          </a:r>
        </a:p>
        <a:p>
          <a:r>
            <a:rPr lang="en-US" sz="900" baseline="0"/>
            <a:t>and PRICE.</a:t>
          </a:r>
        </a:p>
      </xdr:txBody>
    </xdr:sp>
    <xdr:clientData/>
  </xdr:oneCellAnchor>
  <xdr:twoCellAnchor>
    <xdr:from>
      <xdr:col>7</xdr:col>
      <xdr:colOff>317500</xdr:colOff>
      <xdr:row>0</xdr:row>
      <xdr:rowOff>95251</xdr:rowOff>
    </xdr:from>
    <xdr:to>
      <xdr:col>12</xdr:col>
      <xdr:colOff>349250</xdr:colOff>
      <xdr:row>1</xdr:row>
      <xdr:rowOff>87309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95875" y="95251"/>
          <a:ext cx="3302000" cy="1825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Fashion</a:t>
          </a:r>
        </a:p>
      </xdr:txBody>
    </xdr:sp>
    <xdr:clientData/>
  </xdr:twoCellAnchor>
  <xdr:twoCellAnchor>
    <xdr:from>
      <xdr:col>7</xdr:col>
      <xdr:colOff>430213</xdr:colOff>
      <xdr:row>16</xdr:row>
      <xdr:rowOff>128583</xdr:rowOff>
    </xdr:from>
    <xdr:to>
      <xdr:col>12</xdr:col>
      <xdr:colOff>358775</xdr:colOff>
      <xdr:row>17</xdr:row>
      <xdr:rowOff>112708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208588" y="3303583"/>
          <a:ext cx="3198812" cy="174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Functional</a:t>
          </a:r>
        </a:p>
      </xdr:txBody>
    </xdr:sp>
    <xdr:clientData/>
  </xdr:twoCellAnchor>
  <xdr:twoCellAnchor>
    <xdr:from>
      <xdr:col>12</xdr:col>
      <xdr:colOff>271462</xdr:colOff>
      <xdr:row>0</xdr:row>
      <xdr:rowOff>96838</xdr:rowOff>
    </xdr:from>
    <xdr:to>
      <xdr:col>12</xdr:col>
      <xdr:colOff>444499</xdr:colOff>
      <xdr:row>17</xdr:row>
      <xdr:rowOff>114618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320087" y="96838"/>
          <a:ext cx="173037" cy="338328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 anchorCtr="1"/>
        <a:lstStyle/>
        <a:p>
          <a:pPr algn="l"/>
          <a:r>
            <a:rPr lang="en-US" sz="800"/>
            <a:t>Luxury</a:t>
          </a:r>
        </a:p>
      </xdr:txBody>
    </xdr:sp>
    <xdr:clientData/>
  </xdr:twoCellAnchor>
  <xdr:twoCellAnchor>
    <xdr:from>
      <xdr:col>7</xdr:col>
      <xdr:colOff>312737</xdr:colOff>
      <xdr:row>0</xdr:row>
      <xdr:rowOff>98425</xdr:rowOff>
    </xdr:from>
    <xdr:to>
      <xdr:col>7</xdr:col>
      <xdr:colOff>485774</xdr:colOff>
      <xdr:row>17</xdr:row>
      <xdr:rowOff>116205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091112" y="98425"/>
          <a:ext cx="173037" cy="338328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800"/>
            <a:t>Affordable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B6BF0F-59A6-44D7-9ECB-A022B94F51A3}" name="Table1" displayName="Table1" ref="F21:H31" totalsRowShown="0" headerRowDxfId="4" dataDxfId="3">
  <autoFilter ref="F21:H31" xr:uid="{59AB276C-5DAF-4BBD-A789-066A57858911}"/>
  <tableColumns count="3">
    <tableColumn id="1" xr3:uid="{0CA6CE17-1909-4642-A132-564974FCF66D}" name="Brand" dataDxfId="2"/>
    <tableColumn id="2" xr3:uid="{1D71B7C1-4508-4690-A26A-23938B24C479}" name="Luxury" dataDxfId="1"/>
    <tableColumn id="3" xr3:uid="{5CE10705-B4B5-4E7D-8516-054BEF543164}" name="Fash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C246-5652-47B0-80A0-8E8F3D18CE78}">
  <sheetPr codeName="Sheet1"/>
  <dimension ref="B9:H31"/>
  <sheetViews>
    <sheetView showGridLines="0" tabSelected="1" zoomScale="120" zoomScaleNormal="120" workbookViewId="0">
      <selection activeCell="B10" sqref="B10"/>
    </sheetView>
  </sheetViews>
  <sheetFormatPr defaultRowHeight="15" x14ac:dyDescent="0.25"/>
  <cols>
    <col min="1" max="1" width="4.42578125" customWidth="1"/>
    <col min="2" max="2" width="13.7109375" customWidth="1"/>
    <col min="4" max="4" width="10.42578125" customWidth="1"/>
    <col min="5" max="5" width="9.140625" customWidth="1"/>
    <col min="6" max="6" width="13.28515625" bestFit="1" customWidth="1"/>
    <col min="7" max="7" width="11.42578125" bestFit="1" customWidth="1"/>
    <col min="8" max="8" width="12.42578125" bestFit="1" customWidth="1"/>
  </cols>
  <sheetData>
    <row r="9" spans="2:6" ht="21" x14ac:dyDescent="0.35">
      <c r="B9" s="2" t="s">
        <v>12</v>
      </c>
      <c r="C9" t="s">
        <v>13</v>
      </c>
      <c r="D9" t="s">
        <v>14</v>
      </c>
      <c r="E9" t="s">
        <v>15</v>
      </c>
      <c r="F9" t="s">
        <v>16</v>
      </c>
    </row>
    <row r="10" spans="2:6" ht="18.75" x14ac:dyDescent="0.3">
      <c r="B10" s="3" t="s">
        <v>5</v>
      </c>
      <c r="C10" s="5">
        <v>76</v>
      </c>
      <c r="D10" s="6">
        <f>(C10-50)/10</f>
        <v>2.6</v>
      </c>
      <c r="E10" s="5">
        <v>67</v>
      </c>
      <c r="F10" s="6">
        <f>(E10-50)/10</f>
        <v>1.7</v>
      </c>
    </row>
    <row r="11" spans="2:6" x14ac:dyDescent="0.25">
      <c r="C11" s="5">
        <f>MATCH(B10,F22:F31)</f>
        <v>6</v>
      </c>
      <c r="D11" s="6">
        <f>D10</f>
        <v>2.6</v>
      </c>
      <c r="E11" s="6">
        <f>F10</f>
        <v>1.7</v>
      </c>
      <c r="F11" s="5"/>
    </row>
    <row r="21" spans="2:8" x14ac:dyDescent="0.25">
      <c r="B21" s="1"/>
      <c r="C21" s="1"/>
      <c r="D21" s="1"/>
      <c r="F21" s="4" t="s">
        <v>12</v>
      </c>
      <c r="G21" s="4" t="s">
        <v>11</v>
      </c>
      <c r="H21" s="4" t="s">
        <v>10</v>
      </c>
    </row>
    <row r="22" spans="2:8" x14ac:dyDescent="0.25">
      <c r="F22" s="5" t="s">
        <v>0</v>
      </c>
      <c r="G22" s="5"/>
      <c r="H22" s="5"/>
    </row>
    <row r="23" spans="2:8" x14ac:dyDescent="0.25">
      <c r="F23" s="5" t="s">
        <v>1</v>
      </c>
      <c r="G23" s="5"/>
      <c r="H23" s="5"/>
    </row>
    <row r="24" spans="2:8" x14ac:dyDescent="0.25">
      <c r="F24" s="5" t="s">
        <v>2</v>
      </c>
      <c r="G24" s="5"/>
      <c r="H24" s="5"/>
    </row>
    <row r="25" spans="2:8" x14ac:dyDescent="0.25">
      <c r="F25" s="5" t="s">
        <v>3</v>
      </c>
      <c r="G25" s="5"/>
      <c r="H25" s="5"/>
    </row>
    <row r="26" spans="2:8" x14ac:dyDescent="0.25">
      <c r="F26" s="5" t="s">
        <v>4</v>
      </c>
      <c r="G26" s="5"/>
      <c r="H26" s="5"/>
    </row>
    <row r="27" spans="2:8" x14ac:dyDescent="0.25">
      <c r="F27" s="5" t="s">
        <v>5</v>
      </c>
      <c r="G27" s="5"/>
      <c r="H27" s="5"/>
    </row>
    <row r="28" spans="2:8" x14ac:dyDescent="0.25">
      <c r="F28" s="5" t="s">
        <v>6</v>
      </c>
      <c r="G28" s="5"/>
      <c r="H28" s="5"/>
    </row>
    <row r="29" spans="2:8" x14ac:dyDescent="0.25">
      <c r="F29" s="5" t="s">
        <v>7</v>
      </c>
      <c r="G29" s="5"/>
      <c r="H29" s="5"/>
    </row>
    <row r="30" spans="2:8" x14ac:dyDescent="0.25">
      <c r="F30" s="5" t="s">
        <v>8</v>
      </c>
      <c r="G30" s="5"/>
      <c r="H30" s="5"/>
    </row>
    <row r="31" spans="2:8" x14ac:dyDescent="0.25">
      <c r="F31" s="5" t="s">
        <v>9</v>
      </c>
      <c r="G31" s="5"/>
      <c r="H31" s="5"/>
    </row>
  </sheetData>
  <sheetProtection selectLockedCells="1"/>
  <dataValidations count="1">
    <dataValidation type="list" allowBlank="1" showInputMessage="1" showErrorMessage="1" sqref="B10" xr:uid="{F9B9C02D-72C3-4D36-B329-93E362FF5C10}">
      <formula1>$F$22:$F$31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croll Bar 3">
              <controlPr defaultSize="0" autoPict="0">
                <anchor moveWithCells="1">
                  <from>
                    <xdr:col>2</xdr:col>
                    <xdr:colOff>95250</xdr:colOff>
                    <xdr:row>9</xdr:row>
                    <xdr:rowOff>209550</xdr:rowOff>
                  </from>
                  <to>
                    <xdr:col>5</xdr:col>
                    <xdr:colOff>828675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Scroll Bar 7">
              <controlPr defaultSize="0" autoPict="0">
                <anchor moveWithCells="1">
                  <from>
                    <xdr:col>2</xdr:col>
                    <xdr:colOff>114300</xdr:colOff>
                    <xdr:row>15</xdr:row>
                    <xdr:rowOff>133350</xdr:rowOff>
                  </from>
                  <to>
                    <xdr:col>5</xdr:col>
                    <xdr:colOff>857250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2018-02-24T06:50:03Z</dcterms:created>
  <dcterms:modified xsi:type="dcterms:W3CDTF">2018-02-26T10:15:55Z</dcterms:modified>
</cp:coreProperties>
</file>